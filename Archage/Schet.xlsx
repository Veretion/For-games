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2" l="1"/>
  <c r="E25" i="2"/>
  <c r="E50" i="2"/>
  <c r="E49" i="2"/>
  <c r="E46" i="2" s="1"/>
  <c r="F46" i="2" s="1"/>
  <c r="G46" i="2" s="1"/>
  <c r="E41" i="2"/>
  <c r="E37" i="2" s="1"/>
  <c r="F37" i="2" s="1"/>
  <c r="G37" i="2" s="1"/>
  <c r="E40" i="2"/>
  <c r="E32" i="2"/>
  <c r="E31" i="2"/>
  <c r="E24" i="2"/>
  <c r="E23" i="2"/>
  <c r="E16" i="2"/>
  <c r="E15" i="2"/>
  <c r="E6" i="2"/>
  <c r="E7" i="2"/>
  <c r="E3" i="2" s="1"/>
  <c r="F3" i="2" s="1"/>
  <c r="G3" i="2" s="1"/>
  <c r="E8" i="2"/>
  <c r="E20" i="2" l="1"/>
  <c r="G20" i="2" s="1"/>
  <c r="E28" i="2"/>
  <c r="F28" i="2" s="1"/>
  <c r="G28" i="2" s="1"/>
  <c r="E12" i="2"/>
  <c r="F12" i="2" s="1"/>
  <c r="G12" i="2" s="1"/>
</calcChain>
</file>

<file path=xl/sharedStrings.xml><?xml version="1.0" encoding="utf-8"?>
<sst xmlns="http://schemas.openxmlformats.org/spreadsheetml/2006/main" count="133" uniqueCount="61">
  <si>
    <t>Строительство</t>
  </si>
  <si>
    <t>Пугала</t>
  </si>
  <si>
    <t>Чертежи</t>
  </si>
  <si>
    <t>Беседки</t>
  </si>
  <si>
    <t>ОР</t>
  </si>
  <si>
    <t>Инструмент</t>
  </si>
  <si>
    <t>верстак</t>
  </si>
  <si>
    <t>Чертеж: боковая беседка с красным флажком</t>
  </si>
  <si>
    <t>Чертеж: боковая беседка с синим флажком</t>
  </si>
  <si>
    <t>Чертеж: боковая беседка с зеленым флажком</t>
  </si>
  <si>
    <t>Чертеж: центральная беседка с красным флажком</t>
  </si>
  <si>
    <t>Чертеж центральная беседка с синим флажком</t>
  </si>
  <si>
    <t>Чертеж: центральная беседка с зеленым флажком</t>
  </si>
  <si>
    <t>Разборка беседки с красным флажком</t>
  </si>
  <si>
    <t>Разборка беседки с синим флажком</t>
  </si>
  <si>
    <t>Разборка беседки с зеленым флажком</t>
  </si>
  <si>
    <t>Чертеж: пугало с соломенным навесом</t>
  </si>
  <si>
    <t>Чертеж: замаскированный под пугало консорци-о-мат</t>
  </si>
  <si>
    <t>Чертеж: пугало в соломенной шляпе</t>
  </si>
  <si>
    <t>Чертеж: пугало с тыквенной головой</t>
  </si>
  <si>
    <t>Консорци-о-мат</t>
  </si>
  <si>
    <t>Затраты</t>
  </si>
  <si>
    <t>Материалы 1</t>
  </si>
  <si>
    <t>Материалы 2</t>
  </si>
  <si>
    <t>Материалы 3</t>
  </si>
  <si>
    <t>Материалы 4</t>
  </si>
  <si>
    <t>Материалы 5</t>
  </si>
  <si>
    <t>Голова из тыквы</t>
  </si>
  <si>
    <t>Материалы 6</t>
  </si>
  <si>
    <t>Кол-во</t>
  </si>
  <si>
    <t>Упаковка стротельной древесины</t>
  </si>
  <si>
    <t>Очищенный лакировочный состав</t>
  </si>
  <si>
    <t>Бумага</t>
  </si>
  <si>
    <t>Упаковкка обструганных досок</t>
  </si>
  <si>
    <t>Набор строительных инструментов</t>
  </si>
  <si>
    <t>Упаковка отделочных материалов</t>
  </si>
  <si>
    <t>Упаковка строительного кирпича</t>
  </si>
  <si>
    <t>Бумаги домовладельца</t>
  </si>
  <si>
    <t>Чертеж: пугало-рыцарь с задиристой рожицей</t>
  </si>
  <si>
    <t>Чертеж: пугало-рыцарь с хмурой рожицей</t>
  </si>
  <si>
    <t>Чертеж: пугало-рыцарь с веселой рожицей</t>
  </si>
  <si>
    <t>Упаковка лакированных досок</t>
  </si>
  <si>
    <t>Почтовый ящик</t>
  </si>
  <si>
    <t>Сборник чертежей мебельшика. Том 1</t>
  </si>
  <si>
    <t>Лакированная древесина</t>
  </si>
  <si>
    <t>кол-во</t>
  </si>
  <si>
    <t>Материалы</t>
  </si>
  <si>
    <t>Столбец1</t>
  </si>
  <si>
    <t>Слиток метеоритного железа</t>
  </si>
  <si>
    <t>Цена Аук за шт</t>
  </si>
  <si>
    <t>Цена крафта</t>
  </si>
  <si>
    <t>Итого</t>
  </si>
  <si>
    <t>Прибыль</t>
  </si>
  <si>
    <t>Профит</t>
  </si>
  <si>
    <t>Магнитное ядро</t>
  </si>
  <si>
    <t>Прочный сплав</t>
  </si>
  <si>
    <t>Клейкий листочек</t>
  </si>
  <si>
    <t>Драгоценный флакон с целебной микстурой</t>
  </si>
  <si>
    <t>Хрустальный флакон с целебной микстурой</t>
  </si>
  <si>
    <t>Лекарственный порошок</t>
  </si>
  <si>
    <t>Лист гинкго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</si>
</sst>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14">
    <xf numFmtId="0" fontId="0" fillId="0" borderId="0" xfId="0"/>
    <xf numFmtId="0" fontId="2" fillId="2" borderId="0" xfId="1"/>
    <xf numFmtId="0" fontId="0" fillId="3" borderId="1" xfId="2" applyFont="1"/>
    <xf numFmtId="0" fontId="0" fillId="0" borderId="0" xfId="0" applyAlignment="1">
      <alignment horizontal="center"/>
    </xf>
    <xf numFmtId="0" fontId="0" fillId="0" borderId="2" xfId="0" applyFont="1" applyBorder="1"/>
    <xf numFmtId="0" fontId="0" fillId="0" borderId="4" xfId="0" applyFont="1" applyBorder="1"/>
    <xf numFmtId="0" fontId="0" fillId="0" borderId="6" xfId="0" applyFont="1" applyBorder="1"/>
    <xf numFmtId="0" fontId="2" fillId="2" borderId="3" xfId="1" applyFont="1" applyFill="1" applyBorder="1"/>
    <xf numFmtId="0" fontId="0" fillId="0" borderId="5" xfId="0" applyFont="1" applyBorder="1"/>
    <xf numFmtId="0" fontId="0" fillId="0" borderId="7" xfId="0" applyFont="1" applyBorder="1"/>
    <xf numFmtId="0" fontId="0" fillId="0" borderId="3" xfId="0" applyFont="1" applyBorder="1"/>
    <xf numFmtId="0" fontId="0" fillId="0" borderId="5" xfId="0" applyFont="1" applyBorder="1" applyAlignment="1">
      <alignment horizontal="center"/>
    </xf>
    <xf numFmtId="0" fontId="0" fillId="0" borderId="0" xfId="0" applyNumberFormat="1"/>
    <xf numFmtId="0" fontId="0" fillId="0" borderId="5" xfId="0" applyNumberFormat="1" applyFont="1" applyBorder="1"/>
  </cellXfs>
  <cellStyles count="3">
    <cellStyle name="Обычный" xfId="0" builtinId="0"/>
    <cellStyle name="Примечание" xfId="2" builtinId="10"/>
    <cellStyle name="Хороший" xfId="1" builtinId="26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G8" totalsRowShown="0">
  <autoFilter ref="A1:G8"/>
  <tableColumns count="7">
    <tableColumn id="1" name="Столбец1"/>
    <tableColumn id="2" name="ОР"/>
    <tableColumn id="3" name="Цена Аук за шт"/>
    <tableColumn id="5" name="Цена крафта"/>
    <tableColumn id="6" name="Затраты" dataDxfId="2">
      <calculatedColumnFormula>Таблица1[[#This Row],[Цена Аук за шт]]*Таблица1[[#This Row],[ОР]]</calculatedColumnFormula>
    </tableColumn>
    <tableColumn id="7" name="Прибыль" dataDxfId="1">
      <calculatedColumnFormula>(C1-Таблица1[[#This Row],[Затраты]]) * 0.9</calculatedColumnFormula>
    </tableColumn>
    <tableColumn id="8" name="Профит" dataDxfId="0">
      <calculatedColumnFormula>Таблица1[[#This Row],[Прибыль]]/B1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opLeftCell="A22" zoomScale="85" zoomScaleNormal="85" workbookViewId="0">
      <selection activeCell="D32" sqref="D32"/>
    </sheetView>
  </sheetViews>
  <sheetFormatPr defaultRowHeight="15" x14ac:dyDescent="0.25"/>
  <cols>
    <col min="1" max="1" width="15.28515625" style="2" bestFit="1" customWidth="1"/>
    <col min="2" max="2" width="9" style="2" bestFit="1" customWidth="1"/>
    <col min="3" max="3" width="8.5703125" style="2" bestFit="1" customWidth="1"/>
    <col min="4" max="4" width="72.85546875" style="2" bestFit="1" customWidth="1"/>
    <col min="5" max="5" width="9.140625" style="2"/>
    <col min="6" max="6" width="12" style="2" bestFit="1" customWidth="1"/>
    <col min="7" max="7" width="9.140625" style="2"/>
    <col min="8" max="8" width="44.7109375" style="2" bestFit="1" customWidth="1"/>
    <col min="9" max="9" width="7.42578125" style="2" bestFit="1" customWidth="1"/>
    <col min="10" max="10" width="35.5703125" style="2" bestFit="1" customWidth="1"/>
    <col min="11" max="11" width="7.42578125" style="2" bestFit="1" customWidth="1"/>
    <col min="12" max="12" width="34.140625" style="2" bestFit="1" customWidth="1"/>
    <col min="13" max="13" width="6.85546875" style="2" customWidth="1"/>
    <col min="14" max="14" width="33.42578125" style="2" bestFit="1" customWidth="1"/>
    <col min="15" max="15" width="7.42578125" style="2" bestFit="1" customWidth="1"/>
    <col min="16" max="16" width="32.140625" style="2" bestFit="1" customWidth="1"/>
    <col min="17" max="17" width="7.42578125" style="2" bestFit="1" customWidth="1"/>
    <col min="18" max="18" width="32.140625" style="2" bestFit="1" customWidth="1"/>
    <col min="19" max="16384" width="9.140625" style="2"/>
  </cols>
  <sheetData>
    <row r="1" spans="1:20" x14ac:dyDescent="0.25">
      <c r="E1" s="2" t="s">
        <v>4</v>
      </c>
      <c r="F1" s="2" t="s">
        <v>5</v>
      </c>
      <c r="G1" s="2" t="s">
        <v>21</v>
      </c>
      <c r="H1" s="2" t="s">
        <v>22</v>
      </c>
      <c r="I1" s="2" t="s">
        <v>29</v>
      </c>
      <c r="J1" s="2" t="s">
        <v>23</v>
      </c>
      <c r="K1" s="2" t="s">
        <v>29</v>
      </c>
      <c r="L1" s="2" t="s">
        <v>24</v>
      </c>
      <c r="M1" s="2" t="s">
        <v>29</v>
      </c>
      <c r="N1" s="2" t="s">
        <v>25</v>
      </c>
      <c r="O1" s="2" t="s">
        <v>29</v>
      </c>
      <c r="P1" s="2" t="s">
        <v>26</v>
      </c>
      <c r="Q1" s="2" t="s">
        <v>29</v>
      </c>
      <c r="R1" s="2" t="s">
        <v>28</v>
      </c>
      <c r="T1" s="2" t="s">
        <v>29</v>
      </c>
    </row>
    <row r="2" spans="1:20" x14ac:dyDescent="0.25">
      <c r="A2" s="2" t="s">
        <v>6</v>
      </c>
    </row>
    <row r="4" spans="1:20" x14ac:dyDescent="0.25">
      <c r="A4" s="2" t="s">
        <v>0</v>
      </c>
    </row>
    <row r="5" spans="1:20" x14ac:dyDescent="0.25">
      <c r="B5" s="2" t="s">
        <v>2</v>
      </c>
    </row>
    <row r="6" spans="1:20" x14ac:dyDescent="0.25">
      <c r="C6" s="2" t="s">
        <v>1</v>
      </c>
    </row>
    <row r="7" spans="1:20" x14ac:dyDescent="0.25">
      <c r="D7" s="2" t="s">
        <v>19</v>
      </c>
      <c r="E7" s="2">
        <v>5</v>
      </c>
      <c r="F7" s="2" t="s">
        <v>6</v>
      </c>
      <c r="G7" s="2">
        <v>0.01</v>
      </c>
      <c r="H7" s="2" t="s">
        <v>27</v>
      </c>
      <c r="I7" s="2">
        <v>1</v>
      </c>
      <c r="J7" s="2" t="s">
        <v>18</v>
      </c>
      <c r="K7" s="2">
        <v>1</v>
      </c>
    </row>
    <row r="8" spans="1:20" x14ac:dyDescent="0.25">
      <c r="D8" s="2" t="s">
        <v>20</v>
      </c>
      <c r="E8" s="2">
        <v>25</v>
      </c>
      <c r="G8" s="2">
        <v>0.01</v>
      </c>
      <c r="H8" s="2" t="s">
        <v>18</v>
      </c>
      <c r="I8" s="2">
        <v>1</v>
      </c>
      <c r="J8" s="2" t="s">
        <v>30</v>
      </c>
      <c r="K8" s="2">
        <v>30</v>
      </c>
      <c r="L8" s="2" t="s">
        <v>31</v>
      </c>
      <c r="M8" s="2">
        <v>1</v>
      </c>
    </row>
    <row r="9" spans="1:20" x14ac:dyDescent="0.25">
      <c r="D9" s="2" t="s">
        <v>18</v>
      </c>
      <c r="E9" s="2">
        <v>25</v>
      </c>
      <c r="F9" s="2" t="s">
        <v>6</v>
      </c>
      <c r="G9" s="2">
        <v>0.01</v>
      </c>
      <c r="H9" s="2" t="s">
        <v>20</v>
      </c>
      <c r="I9" s="2">
        <v>1</v>
      </c>
      <c r="J9" s="2" t="s">
        <v>32</v>
      </c>
      <c r="K9" s="2">
        <v>5</v>
      </c>
      <c r="L9" s="2" t="s">
        <v>33</v>
      </c>
      <c r="M9" s="2">
        <v>1</v>
      </c>
    </row>
    <row r="10" spans="1:20" x14ac:dyDescent="0.25">
      <c r="D10" s="2" t="s">
        <v>17</v>
      </c>
      <c r="E10" s="2">
        <v>100</v>
      </c>
      <c r="F10" s="2" t="s">
        <v>6</v>
      </c>
      <c r="G10" s="2">
        <v>0.01</v>
      </c>
      <c r="H10" s="2" t="s">
        <v>18</v>
      </c>
      <c r="I10" s="2">
        <v>1</v>
      </c>
      <c r="J10" s="2" t="s">
        <v>33</v>
      </c>
      <c r="K10" s="2">
        <v>2</v>
      </c>
      <c r="L10" s="2" t="s">
        <v>34</v>
      </c>
      <c r="M10" s="2">
        <v>2</v>
      </c>
      <c r="N10" s="2" t="s">
        <v>35</v>
      </c>
      <c r="O10" s="2">
        <v>1</v>
      </c>
      <c r="P10" s="2" t="s">
        <v>36</v>
      </c>
      <c r="Q10" s="2">
        <v>1</v>
      </c>
    </row>
    <row r="11" spans="1:20" x14ac:dyDescent="0.25">
      <c r="D11" s="2" t="s">
        <v>16</v>
      </c>
      <c r="E11" s="2">
        <v>100</v>
      </c>
      <c r="F11" s="2" t="s">
        <v>6</v>
      </c>
      <c r="G11" s="2">
        <v>0.01</v>
      </c>
      <c r="H11" s="2" t="s">
        <v>19</v>
      </c>
      <c r="I11" s="2">
        <v>1</v>
      </c>
      <c r="J11" s="2" t="s">
        <v>37</v>
      </c>
      <c r="K11" s="2">
        <v>6</v>
      </c>
      <c r="L11" s="2" t="s">
        <v>33</v>
      </c>
      <c r="M11" s="2">
        <v>4</v>
      </c>
      <c r="N11" s="2" t="s">
        <v>34</v>
      </c>
      <c r="O11" s="2">
        <v>4</v>
      </c>
      <c r="P11" s="2" t="s">
        <v>35</v>
      </c>
      <c r="Q11" s="2">
        <v>3</v>
      </c>
      <c r="R11" s="2" t="s">
        <v>36</v>
      </c>
      <c r="S11" s="2">
        <v>3</v>
      </c>
    </row>
    <row r="12" spans="1:20" x14ac:dyDescent="0.25">
      <c r="C12" s="2" t="s">
        <v>3</v>
      </c>
    </row>
    <row r="13" spans="1:20" x14ac:dyDescent="0.25">
      <c r="D13" s="2" t="s">
        <v>7</v>
      </c>
      <c r="E13" s="2">
        <v>0</v>
      </c>
      <c r="F13" s="2" t="s">
        <v>6</v>
      </c>
      <c r="G13" s="2">
        <v>0.01</v>
      </c>
      <c r="H13" s="2" t="s">
        <v>38</v>
      </c>
      <c r="I13" s="2">
        <v>1</v>
      </c>
      <c r="J13" s="2" t="s">
        <v>41</v>
      </c>
      <c r="K13" s="2">
        <v>1</v>
      </c>
    </row>
    <row r="14" spans="1:20" x14ac:dyDescent="0.25">
      <c r="D14" s="2" t="s">
        <v>8</v>
      </c>
      <c r="E14" s="2">
        <v>0</v>
      </c>
      <c r="F14" s="2" t="s">
        <v>6</v>
      </c>
      <c r="G14" s="2">
        <v>0.01</v>
      </c>
      <c r="H14" s="2" t="s">
        <v>39</v>
      </c>
      <c r="I14" s="2">
        <v>1</v>
      </c>
      <c r="J14" s="2" t="s">
        <v>41</v>
      </c>
      <c r="K14" s="2">
        <v>1</v>
      </c>
    </row>
    <row r="15" spans="1:20" x14ac:dyDescent="0.25">
      <c r="D15" s="2" t="s">
        <v>9</v>
      </c>
      <c r="E15" s="2">
        <v>0</v>
      </c>
      <c r="F15" s="2" t="s">
        <v>6</v>
      </c>
      <c r="G15" s="2">
        <v>0.01</v>
      </c>
      <c r="H15" s="2" t="s">
        <v>40</v>
      </c>
      <c r="I15" s="2">
        <v>1</v>
      </c>
      <c r="J15" s="2" t="s">
        <v>41</v>
      </c>
      <c r="K15" s="2">
        <v>1</v>
      </c>
    </row>
    <row r="16" spans="1:20" x14ac:dyDescent="0.25">
      <c r="D16" s="2" t="s">
        <v>10</v>
      </c>
      <c r="E16" s="2">
        <v>0</v>
      </c>
      <c r="F16" s="2" t="s">
        <v>6</v>
      </c>
      <c r="G16" s="2">
        <v>0.01</v>
      </c>
      <c r="H16" s="2" t="s">
        <v>7</v>
      </c>
      <c r="I16" s="2">
        <v>1</v>
      </c>
    </row>
    <row r="17" spans="1:9" x14ac:dyDescent="0.25">
      <c r="D17" s="2" t="s">
        <v>11</v>
      </c>
      <c r="E17" s="2">
        <v>0</v>
      </c>
      <c r="F17" s="2" t="s">
        <v>6</v>
      </c>
      <c r="G17" s="2">
        <v>0.01</v>
      </c>
      <c r="H17" s="2" t="s">
        <v>8</v>
      </c>
      <c r="I17" s="2">
        <v>1</v>
      </c>
    </row>
    <row r="18" spans="1:9" x14ac:dyDescent="0.25">
      <c r="D18" s="2" t="s">
        <v>12</v>
      </c>
      <c r="E18" s="2">
        <v>0</v>
      </c>
      <c r="F18" s="2" t="s">
        <v>6</v>
      </c>
      <c r="G18" s="2">
        <v>0.01</v>
      </c>
      <c r="H18" s="2" t="s">
        <v>9</v>
      </c>
      <c r="I18" s="2">
        <v>1</v>
      </c>
    </row>
    <row r="19" spans="1:9" x14ac:dyDescent="0.25">
      <c r="D19" s="2" t="s">
        <v>7</v>
      </c>
      <c r="E19" s="2">
        <v>0</v>
      </c>
      <c r="F19" s="2" t="s">
        <v>6</v>
      </c>
      <c r="G19" s="2">
        <v>0.01</v>
      </c>
      <c r="H19" s="2" t="s">
        <v>7</v>
      </c>
      <c r="I19" s="2">
        <v>1</v>
      </c>
    </row>
    <row r="20" spans="1:9" x14ac:dyDescent="0.25">
      <c r="D20" s="2" t="s">
        <v>8</v>
      </c>
      <c r="E20" s="2">
        <v>0</v>
      </c>
      <c r="F20" s="2" t="s">
        <v>6</v>
      </c>
      <c r="G20" s="2">
        <v>0.01</v>
      </c>
      <c r="H20" s="2" t="s">
        <v>8</v>
      </c>
      <c r="I20" s="2">
        <v>1</v>
      </c>
    </row>
    <row r="21" spans="1:9" x14ac:dyDescent="0.25">
      <c r="D21" s="2" t="s">
        <v>9</v>
      </c>
      <c r="E21" s="2">
        <v>0</v>
      </c>
      <c r="F21" s="2" t="s">
        <v>6</v>
      </c>
      <c r="G21" s="2">
        <v>0.01</v>
      </c>
      <c r="H21" s="2" t="s">
        <v>9</v>
      </c>
      <c r="I21" s="2">
        <v>1</v>
      </c>
    </row>
    <row r="22" spans="1:9" x14ac:dyDescent="0.25">
      <c r="D22" s="2" t="s">
        <v>13</v>
      </c>
      <c r="E22" s="2">
        <v>0</v>
      </c>
      <c r="F22" s="2" t="s">
        <v>6</v>
      </c>
      <c r="G22" s="2">
        <v>0.01</v>
      </c>
    </row>
    <row r="23" spans="1:9" x14ac:dyDescent="0.25">
      <c r="D23" s="2" t="s">
        <v>14</v>
      </c>
      <c r="E23" s="2">
        <v>0</v>
      </c>
      <c r="F23" s="2" t="s">
        <v>6</v>
      </c>
      <c r="G23" s="2">
        <v>0.01</v>
      </c>
    </row>
    <row r="24" spans="1:9" x14ac:dyDescent="0.25">
      <c r="D24" s="2" t="s">
        <v>15</v>
      </c>
      <c r="E24" s="2">
        <v>0</v>
      </c>
      <c r="F24" s="2" t="s">
        <v>6</v>
      </c>
      <c r="G24" s="2">
        <v>0.01</v>
      </c>
    </row>
    <row r="25" spans="1:9" x14ac:dyDescent="0.25">
      <c r="D25" s="2" t="s">
        <v>13</v>
      </c>
      <c r="E25" s="2">
        <v>0</v>
      </c>
      <c r="F25" s="2" t="s">
        <v>6</v>
      </c>
      <c r="G25" s="2">
        <v>0.01</v>
      </c>
    </row>
    <row r="26" spans="1:9" x14ac:dyDescent="0.25">
      <c r="D26" s="2" t="s">
        <v>14</v>
      </c>
      <c r="E26" s="2">
        <v>0</v>
      </c>
      <c r="F26" s="2" t="s">
        <v>6</v>
      </c>
      <c r="G26" s="2">
        <v>0.01</v>
      </c>
    </row>
    <row r="27" spans="1:9" x14ac:dyDescent="0.25">
      <c r="D27" s="2" t="s">
        <v>15</v>
      </c>
      <c r="E27" s="2">
        <v>0</v>
      </c>
      <c r="F27" s="2" t="s">
        <v>6</v>
      </c>
      <c r="G27" s="2">
        <v>0</v>
      </c>
    </row>
    <row r="30" spans="1:9" x14ac:dyDescent="0.25">
      <c r="A30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4" workbookViewId="0">
      <selection activeCell="G20" sqref="G20"/>
    </sheetView>
  </sheetViews>
  <sheetFormatPr defaultRowHeight="15" x14ac:dyDescent="0.25"/>
  <cols>
    <col min="1" max="1" width="42.85546875" bestFit="1" customWidth="1"/>
    <col min="2" max="2" width="11.5703125" customWidth="1"/>
    <col min="3" max="3" width="17" customWidth="1"/>
    <col min="4" max="4" width="14.85546875" bestFit="1" customWidth="1"/>
    <col min="5" max="5" width="10.7109375" bestFit="1" customWidth="1"/>
    <col min="6" max="6" width="11.7109375" bestFit="1" customWidth="1"/>
    <col min="7" max="7" width="10.28515625" bestFit="1" customWidth="1"/>
  </cols>
  <sheetData>
    <row r="1" spans="1:7" x14ac:dyDescent="0.25">
      <c r="A1" t="s">
        <v>47</v>
      </c>
      <c r="B1" t="s">
        <v>4</v>
      </c>
      <c r="C1" t="s">
        <v>49</v>
      </c>
      <c r="D1" t="s">
        <v>50</v>
      </c>
      <c r="E1" t="s">
        <v>21</v>
      </c>
      <c r="F1" t="s">
        <v>52</v>
      </c>
      <c r="G1" t="s">
        <v>53</v>
      </c>
    </row>
    <row r="2" spans="1:7" x14ac:dyDescent="0.25">
      <c r="A2" s="1" t="s">
        <v>42</v>
      </c>
      <c r="B2">
        <v>25</v>
      </c>
      <c r="C2">
        <v>30000</v>
      </c>
      <c r="D2">
        <v>0.01</v>
      </c>
      <c r="E2" s="12"/>
    </row>
    <row r="3" spans="1:7" x14ac:dyDescent="0.25">
      <c r="A3" t="s">
        <v>51</v>
      </c>
      <c r="D3" s="3"/>
      <c r="E3">
        <f>SUM(E6:E8)</f>
        <v>22400</v>
      </c>
      <c r="F3">
        <f>(C2-Таблица1[[#This Row],[Затраты]]) * 0.9</f>
        <v>6840</v>
      </c>
      <c r="G3">
        <f>Таблица1[[#This Row],[Прибыль]]/B2</f>
        <v>273.60000000000002</v>
      </c>
    </row>
    <row r="5" spans="1:7" x14ac:dyDescent="0.25">
      <c r="A5" t="s">
        <v>46</v>
      </c>
      <c r="B5" t="s">
        <v>45</v>
      </c>
      <c r="C5" t="s">
        <v>49</v>
      </c>
    </row>
    <row r="6" spans="1:7" x14ac:dyDescent="0.25">
      <c r="A6" t="s">
        <v>43</v>
      </c>
      <c r="B6">
        <v>7</v>
      </c>
      <c r="C6">
        <v>100</v>
      </c>
      <c r="E6">
        <f>Таблица1[[#This Row],[Цена Аук за шт]]*Таблица1[[#This Row],[ОР]]</f>
        <v>700</v>
      </c>
    </row>
    <row r="7" spans="1:7" x14ac:dyDescent="0.25">
      <c r="A7" t="s">
        <v>44</v>
      </c>
      <c r="B7">
        <v>10</v>
      </c>
      <c r="C7">
        <v>2000</v>
      </c>
      <c r="E7">
        <f>Таблица1[[#This Row],[Цена Аук за шт]]*Таблица1[[#This Row],[ОР]]</f>
        <v>20000</v>
      </c>
    </row>
    <row r="8" spans="1:7" x14ac:dyDescent="0.25">
      <c r="A8" t="s">
        <v>48</v>
      </c>
      <c r="B8">
        <v>5</v>
      </c>
      <c r="C8">
        <v>340</v>
      </c>
      <c r="E8">
        <f>Таблица1[[#This Row],[Цена Аук за шт]]*Таблица1[[#This Row],[ОР]]</f>
        <v>1700</v>
      </c>
    </row>
    <row r="11" spans="1:7" x14ac:dyDescent="0.25">
      <c r="A11" s="7" t="s">
        <v>54</v>
      </c>
      <c r="B11" s="8">
        <v>50</v>
      </c>
      <c r="C11" s="8">
        <v>9800</v>
      </c>
      <c r="D11" s="8">
        <v>0.01</v>
      </c>
      <c r="E11" s="13"/>
      <c r="F11" s="8"/>
      <c r="G11" s="9"/>
    </row>
    <row r="12" spans="1:7" x14ac:dyDescent="0.25">
      <c r="A12" s="10" t="s">
        <v>51</v>
      </c>
      <c r="B12" s="8"/>
      <c r="C12" s="8"/>
      <c r="D12" s="11"/>
      <c r="E12" s="8">
        <f>SUM(E15:E17)</f>
        <v>8860</v>
      </c>
      <c r="F12" s="8">
        <f>(C11-E12) * 0.9</f>
        <v>846</v>
      </c>
      <c r="G12" s="9">
        <f>F12/B11</f>
        <v>16.920000000000002</v>
      </c>
    </row>
    <row r="13" spans="1:7" x14ac:dyDescent="0.25">
      <c r="A13" s="10"/>
      <c r="B13" s="8"/>
      <c r="C13" s="8"/>
      <c r="D13" s="8"/>
      <c r="E13" s="8"/>
      <c r="F13" s="8"/>
      <c r="G13" s="9"/>
    </row>
    <row r="14" spans="1:7" x14ac:dyDescent="0.25">
      <c r="A14" s="10" t="s">
        <v>46</v>
      </c>
      <c r="B14" s="8" t="s">
        <v>45</v>
      </c>
      <c r="C14" s="8" t="s">
        <v>49</v>
      </c>
      <c r="D14" s="8"/>
      <c r="E14" s="8"/>
      <c r="F14" s="8"/>
      <c r="G14" s="9"/>
    </row>
    <row r="15" spans="1:7" x14ac:dyDescent="0.25">
      <c r="A15" s="4" t="s">
        <v>55</v>
      </c>
      <c r="B15" s="8">
        <v>4</v>
      </c>
      <c r="C15" s="8">
        <v>2200</v>
      </c>
      <c r="D15" s="8"/>
      <c r="E15" s="8">
        <f>C15*B15</f>
        <v>8800</v>
      </c>
      <c r="F15" s="8"/>
      <c r="G15" s="9"/>
    </row>
    <row r="16" spans="1:7" x14ac:dyDescent="0.25">
      <c r="A16" s="10" t="s">
        <v>56</v>
      </c>
      <c r="B16" s="8">
        <v>20</v>
      </c>
      <c r="C16" s="8">
        <v>3</v>
      </c>
      <c r="D16" s="8"/>
      <c r="E16" s="8">
        <f t="shared" ref="E16:E17" si="0">C16*B16</f>
        <v>60</v>
      </c>
      <c r="F16" s="8"/>
      <c r="G16" s="9"/>
    </row>
    <row r="17" spans="1:7" x14ac:dyDescent="0.25">
      <c r="A17" s="4"/>
      <c r="B17" s="5"/>
      <c r="C17" s="5"/>
      <c r="D17" s="5"/>
      <c r="E17" s="5"/>
      <c r="F17" s="5"/>
      <c r="G17" s="6"/>
    </row>
    <row r="19" spans="1:7" x14ac:dyDescent="0.25">
      <c r="A19" s="7" t="s">
        <v>57</v>
      </c>
      <c r="B19" s="8">
        <v>20</v>
      </c>
      <c r="C19" s="8">
        <v>60</v>
      </c>
      <c r="D19" s="8">
        <v>0.6</v>
      </c>
      <c r="E19" s="13"/>
      <c r="F19" s="8"/>
      <c r="G19" s="9"/>
    </row>
    <row r="20" spans="1:7" x14ac:dyDescent="0.25">
      <c r="A20" s="10" t="s">
        <v>51</v>
      </c>
      <c r="B20" s="8"/>
      <c r="C20" s="8"/>
      <c r="D20" s="11"/>
      <c r="E20" s="8">
        <f>SUM(E23:E25)</f>
        <v>540</v>
      </c>
      <c r="F20" s="8">
        <f>(C19*10-E20) * 0.9</f>
        <v>54</v>
      </c>
      <c r="G20" s="9">
        <f>F20/B19</f>
        <v>2.7</v>
      </c>
    </row>
    <row r="21" spans="1:7" x14ac:dyDescent="0.25">
      <c r="A21" s="10"/>
      <c r="B21" s="8"/>
      <c r="C21" s="8"/>
      <c r="D21" s="8"/>
      <c r="E21" s="8"/>
      <c r="F21" s="8"/>
      <c r="G21" s="9"/>
    </row>
    <row r="22" spans="1:7" x14ac:dyDescent="0.25">
      <c r="A22" s="10" t="s">
        <v>46</v>
      </c>
      <c r="B22" s="8" t="s">
        <v>45</v>
      </c>
      <c r="C22" s="8" t="s">
        <v>49</v>
      </c>
      <c r="D22" s="8"/>
      <c r="E22" s="8"/>
      <c r="F22" s="8"/>
      <c r="G22" s="9"/>
    </row>
    <row r="23" spans="1:7" x14ac:dyDescent="0.25">
      <c r="A23" s="4" t="s">
        <v>58</v>
      </c>
      <c r="B23" s="8">
        <v>10</v>
      </c>
      <c r="C23" s="8">
        <v>49</v>
      </c>
      <c r="D23" s="8"/>
      <c r="E23" s="8">
        <f>C23*B23</f>
        <v>490</v>
      </c>
      <c r="F23" s="8"/>
      <c r="G23" s="9"/>
    </row>
    <row r="24" spans="1:7" x14ac:dyDescent="0.25">
      <c r="A24" s="10" t="s">
        <v>59</v>
      </c>
      <c r="B24" s="8">
        <v>8</v>
      </c>
      <c r="C24" s="8">
        <v>4</v>
      </c>
      <c r="D24" s="8"/>
      <c r="E24" s="8">
        <f t="shared" ref="E24:E25" si="1">C24*B24</f>
        <v>32</v>
      </c>
      <c r="F24" s="8"/>
      <c r="G24" s="9"/>
    </row>
    <row r="25" spans="1:7" x14ac:dyDescent="0.25">
      <c r="A25" s="4" t="s">
        <v>60</v>
      </c>
      <c r="B25" s="5">
        <v>3</v>
      </c>
      <c r="C25" s="5">
        <v>6</v>
      </c>
      <c r="D25" s="5"/>
      <c r="E25" s="8">
        <f t="shared" si="1"/>
        <v>18</v>
      </c>
      <c r="F25" s="5"/>
      <c r="G25" s="6"/>
    </row>
    <row r="27" spans="1:7" x14ac:dyDescent="0.25">
      <c r="A27" s="7"/>
      <c r="B27" s="8"/>
      <c r="C27" s="8"/>
      <c r="D27" s="8">
        <v>0.01</v>
      </c>
      <c r="E27" s="13"/>
      <c r="F27" s="8"/>
      <c r="G27" s="9"/>
    </row>
    <row r="28" spans="1:7" x14ac:dyDescent="0.25">
      <c r="A28" s="10" t="s">
        <v>51</v>
      </c>
      <c r="B28" s="8"/>
      <c r="C28" s="8"/>
      <c r="D28" s="11"/>
      <c r="E28" s="8">
        <f>SUM(E31:E33)</f>
        <v>0</v>
      </c>
      <c r="F28" s="8">
        <f>(C27-E28) * 0.9</f>
        <v>0</v>
      </c>
      <c r="G28" s="9" t="e">
        <f>F28/B27</f>
        <v>#DIV/0!</v>
      </c>
    </row>
    <row r="29" spans="1:7" x14ac:dyDescent="0.25">
      <c r="A29" s="10"/>
      <c r="B29" s="8"/>
      <c r="C29" s="8"/>
      <c r="D29" s="8"/>
      <c r="E29" s="8"/>
      <c r="F29" s="8"/>
      <c r="G29" s="9"/>
    </row>
    <row r="30" spans="1:7" x14ac:dyDescent="0.25">
      <c r="A30" s="10" t="s">
        <v>46</v>
      </c>
      <c r="B30" s="8" t="s">
        <v>45</v>
      </c>
      <c r="C30" s="8" t="s">
        <v>49</v>
      </c>
      <c r="D30" s="8"/>
      <c r="E30" s="8"/>
      <c r="F30" s="8"/>
      <c r="G30" s="9"/>
    </row>
    <row r="31" spans="1:7" x14ac:dyDescent="0.25">
      <c r="A31" s="4"/>
      <c r="B31" s="8"/>
      <c r="C31" s="8"/>
      <c r="D31" s="8"/>
      <c r="E31" s="8">
        <f>C31*B31</f>
        <v>0</v>
      </c>
      <c r="F31" s="8"/>
      <c r="G31" s="9"/>
    </row>
    <row r="32" spans="1:7" x14ac:dyDescent="0.25">
      <c r="A32" s="10"/>
      <c r="B32" s="8"/>
      <c r="C32" s="8">
        <v>3</v>
      </c>
      <c r="D32" s="8"/>
      <c r="E32" s="8">
        <f t="shared" ref="E32:E33" si="2">C32*B32</f>
        <v>0</v>
      </c>
      <c r="F32" s="8"/>
      <c r="G32" s="9"/>
    </row>
    <row r="33" spans="1:7" x14ac:dyDescent="0.25">
      <c r="A33" s="4"/>
      <c r="B33" s="5"/>
      <c r="C33" s="5"/>
      <c r="D33" s="5"/>
      <c r="E33" s="5"/>
      <c r="F33" s="5"/>
      <c r="G33" s="6"/>
    </row>
    <row r="36" spans="1:7" x14ac:dyDescent="0.25">
      <c r="A36" s="7"/>
      <c r="B36" s="8"/>
      <c r="C36" s="8"/>
      <c r="D36" s="8">
        <v>0.01</v>
      </c>
      <c r="E36" s="13"/>
      <c r="F36" s="8"/>
      <c r="G36" s="9"/>
    </row>
    <row r="37" spans="1:7" x14ac:dyDescent="0.25">
      <c r="A37" s="10" t="s">
        <v>51</v>
      </c>
      <c r="B37" s="8"/>
      <c r="C37" s="8"/>
      <c r="D37" s="11"/>
      <c r="E37" s="8">
        <f>SUM(E40:E42)</f>
        <v>0</v>
      </c>
      <c r="F37" s="8">
        <f>(C36-E37) * 0.9</f>
        <v>0</v>
      </c>
      <c r="G37" s="9" t="e">
        <f>F37/B36</f>
        <v>#DIV/0!</v>
      </c>
    </row>
    <row r="38" spans="1:7" x14ac:dyDescent="0.25">
      <c r="A38" s="10"/>
      <c r="B38" s="8"/>
      <c r="C38" s="8"/>
      <c r="D38" s="8"/>
      <c r="E38" s="8"/>
      <c r="F38" s="8"/>
      <c r="G38" s="9"/>
    </row>
    <row r="39" spans="1:7" x14ac:dyDescent="0.25">
      <c r="A39" s="10" t="s">
        <v>46</v>
      </c>
      <c r="B39" s="8" t="s">
        <v>45</v>
      </c>
      <c r="C39" s="8" t="s">
        <v>49</v>
      </c>
      <c r="D39" s="8"/>
      <c r="E39" s="8"/>
      <c r="F39" s="8"/>
      <c r="G39" s="9"/>
    </row>
    <row r="40" spans="1:7" x14ac:dyDescent="0.25">
      <c r="A40" s="4"/>
      <c r="B40" s="8"/>
      <c r="C40" s="8"/>
      <c r="D40" s="8"/>
      <c r="E40" s="8">
        <f>C40*B40</f>
        <v>0</v>
      </c>
      <c r="F40" s="8"/>
      <c r="G40" s="9"/>
    </row>
    <row r="41" spans="1:7" x14ac:dyDescent="0.25">
      <c r="A41" s="10"/>
      <c r="B41" s="8"/>
      <c r="C41" s="8">
        <v>3</v>
      </c>
      <c r="D41" s="8"/>
      <c r="E41" s="8">
        <f t="shared" ref="E41:E42" si="3">C41*B41</f>
        <v>0</v>
      </c>
      <c r="F41" s="8"/>
      <c r="G41" s="9"/>
    </row>
    <row r="42" spans="1:7" x14ac:dyDescent="0.25">
      <c r="A42" s="4"/>
      <c r="B42" s="5"/>
      <c r="C42" s="5"/>
      <c r="D42" s="5"/>
      <c r="E42" s="5"/>
      <c r="F42" s="5"/>
      <c r="G42" s="6"/>
    </row>
    <row r="45" spans="1:7" x14ac:dyDescent="0.25">
      <c r="A45" s="7"/>
      <c r="B45" s="8"/>
      <c r="C45" s="8"/>
      <c r="D45" s="8">
        <v>0.01</v>
      </c>
      <c r="E45" s="13"/>
      <c r="F45" s="8"/>
      <c r="G45" s="9"/>
    </row>
    <row r="46" spans="1:7" x14ac:dyDescent="0.25">
      <c r="A46" s="10" t="s">
        <v>51</v>
      </c>
      <c r="B46" s="8"/>
      <c r="C46" s="8"/>
      <c r="D46" s="11"/>
      <c r="E46" s="8">
        <f>SUM(E49:E51)</f>
        <v>0</v>
      </c>
      <c r="F46" s="8">
        <f>(C45-E46) * 0.9</f>
        <v>0</v>
      </c>
      <c r="G46" s="9" t="e">
        <f>F46/B45</f>
        <v>#DIV/0!</v>
      </c>
    </row>
    <row r="47" spans="1:7" x14ac:dyDescent="0.25">
      <c r="A47" s="10"/>
      <c r="B47" s="8"/>
      <c r="C47" s="8"/>
      <c r="D47" s="8"/>
      <c r="E47" s="8"/>
      <c r="F47" s="8"/>
      <c r="G47" s="9"/>
    </row>
    <row r="48" spans="1:7" x14ac:dyDescent="0.25">
      <c r="A48" s="10" t="s">
        <v>46</v>
      </c>
      <c r="B48" s="8" t="s">
        <v>45</v>
      </c>
      <c r="C48" s="8" t="s">
        <v>49</v>
      </c>
      <c r="D48" s="8"/>
      <c r="E48" s="8"/>
      <c r="F48" s="8"/>
      <c r="G48" s="9"/>
    </row>
    <row r="49" spans="1:7" x14ac:dyDescent="0.25">
      <c r="A49" s="4"/>
      <c r="B49" s="8"/>
      <c r="C49" s="8"/>
      <c r="D49" s="8"/>
      <c r="E49" s="8">
        <f>C49*B49</f>
        <v>0</v>
      </c>
      <c r="F49" s="8"/>
      <c r="G49" s="9"/>
    </row>
    <row r="50" spans="1:7" x14ac:dyDescent="0.25">
      <c r="A50" s="10"/>
      <c r="B50" s="8"/>
      <c r="C50" s="8">
        <v>3</v>
      </c>
      <c r="D50" s="8"/>
      <c r="E50" s="8">
        <f t="shared" ref="E50:E51" si="4">C50*B50</f>
        <v>0</v>
      </c>
      <c r="F50" s="8"/>
      <c r="G50" s="9"/>
    </row>
    <row r="51" spans="1:7" x14ac:dyDescent="0.25">
      <c r="A51" s="4"/>
      <c r="B51" s="5"/>
      <c r="C51" s="5"/>
      <c r="D51" s="5"/>
      <c r="E51" s="5"/>
      <c r="F51" s="5"/>
      <c r="G5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2020-03-13T00:38:55Z</dcterms:modified>
</cp:coreProperties>
</file>